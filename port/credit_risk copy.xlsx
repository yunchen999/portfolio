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ny/Desktop/Finance/"/>
    </mc:Choice>
  </mc:AlternateContent>
  <xr:revisionPtr revIDLastSave="0" documentId="13_ncr:1_{54D547AD-F5CE-A04F-8DC0-C0EE2BA6FC80}" xr6:coauthVersionLast="47" xr6:coauthVersionMax="47" xr10:uidLastSave="{00000000-0000-0000-0000-000000000000}"/>
  <bookViews>
    <workbookView xWindow="0" yWindow="760" windowWidth="29400" windowHeight="16660" activeTab="2" xr2:uid="{E4462A3F-2B00-E742-88A1-D6AE23193771}"/>
  </bookViews>
  <sheets>
    <sheet name="Raw_Starbucks" sheetId="1" r:id="rId1"/>
    <sheet name="Raw_Peloton" sheetId="2" r:id="rId2"/>
    <sheet name="Ratio_Analysis" sheetId="3" r:id="rId3"/>
    <sheet name="credit score" sheetId="4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3" l="1"/>
  <c r="B54" i="3"/>
  <c r="B53" i="3"/>
  <c r="B56" i="3" s="1"/>
  <c r="B49" i="3"/>
  <c r="B45" i="3"/>
  <c r="B44" i="3"/>
  <c r="B50" i="3" s="1"/>
  <c r="B33" i="3"/>
  <c r="K3" i="2"/>
  <c r="K4" i="2"/>
  <c r="K5" i="2"/>
  <c r="K2" i="2"/>
  <c r="E21" i="3"/>
  <c r="D21" i="3"/>
  <c r="C21" i="3"/>
  <c r="B21" i="3"/>
  <c r="K3" i="1"/>
  <c r="K4" i="1"/>
  <c r="K5" i="1"/>
  <c r="K6" i="1"/>
  <c r="K2" i="1"/>
  <c r="D20" i="3"/>
  <c r="C20" i="3"/>
  <c r="B20" i="3"/>
  <c r="N3" i="2"/>
  <c r="N4" i="2"/>
  <c r="N5" i="2"/>
  <c r="N2" i="2"/>
  <c r="L3" i="2"/>
  <c r="C30" i="3" s="1"/>
  <c r="L4" i="2"/>
  <c r="D30" i="3" s="1"/>
  <c r="L5" i="2"/>
  <c r="E30" i="3" s="1"/>
  <c r="L2" i="2"/>
  <c r="L3" i="1"/>
  <c r="L4" i="1"/>
  <c r="L5" i="1"/>
  <c r="E19" i="3" s="1"/>
  <c r="L6" i="1"/>
  <c r="L2" i="1"/>
  <c r="N3" i="1"/>
  <c r="N4" i="1"/>
  <c r="N5" i="1"/>
  <c r="N6" i="1"/>
  <c r="N2" i="1"/>
  <c r="E22" i="3"/>
  <c r="D22" i="3"/>
  <c r="C22" i="3"/>
  <c r="B22" i="3"/>
  <c r="F9" i="1"/>
  <c r="I6" i="4"/>
  <c r="H6" i="4"/>
  <c r="E31" i="3"/>
  <c r="D31" i="3"/>
  <c r="C31" i="3"/>
  <c r="B31" i="3"/>
  <c r="E28" i="3"/>
  <c r="E29" i="3" s="1"/>
  <c r="D28" i="3"/>
  <c r="D29" i="3" s="1"/>
  <c r="C28" i="3"/>
  <c r="C29" i="3" s="1"/>
  <c r="B28" i="3"/>
  <c r="B29" i="3" s="1"/>
  <c r="E27" i="3"/>
  <c r="D27" i="3"/>
  <c r="C27" i="3"/>
  <c r="B27" i="3"/>
  <c r="E26" i="3"/>
  <c r="D26" i="3"/>
  <c r="C26" i="3"/>
  <c r="B26" i="3"/>
  <c r="E25" i="3"/>
  <c r="D25" i="3"/>
  <c r="C25" i="3"/>
  <c r="B25" i="3"/>
  <c r="E17" i="3"/>
  <c r="E18" i="3" s="1"/>
  <c r="D17" i="3"/>
  <c r="D18" i="3" s="1"/>
  <c r="C17" i="3"/>
  <c r="C18" i="3" s="1"/>
  <c r="B17" i="3"/>
  <c r="B18" i="3" s="1"/>
  <c r="E16" i="3"/>
  <c r="D16" i="3"/>
  <c r="C16" i="3"/>
  <c r="B16" i="3"/>
  <c r="E15" i="3"/>
  <c r="D15" i="3"/>
  <c r="C15" i="3"/>
  <c r="B15" i="3"/>
  <c r="I5" i="2"/>
  <c r="I4" i="2"/>
  <c r="I3" i="2"/>
  <c r="I2" i="2"/>
  <c r="D19" i="3"/>
  <c r="E5" i="1"/>
  <c r="E14" i="3" s="1"/>
  <c r="E6" i="1"/>
  <c r="C19" i="3"/>
  <c r="E3" i="1"/>
  <c r="C14" i="3" s="1"/>
  <c r="E4" i="1"/>
  <c r="D14" i="3" s="1"/>
  <c r="E2" i="1"/>
  <c r="B14" i="3" s="1"/>
  <c r="B30" i="3" l="1"/>
  <c r="B32" i="3"/>
  <c r="E20" i="3"/>
  <c r="B19" i="3"/>
</calcChain>
</file>

<file path=xl/sharedStrings.xml><?xml version="1.0" encoding="utf-8"?>
<sst xmlns="http://schemas.openxmlformats.org/spreadsheetml/2006/main" count="154" uniqueCount="97">
  <si>
    <t>Operating Income</t>
  </si>
  <si>
    <t>Interest Expense</t>
  </si>
  <si>
    <t>Company</t>
  </si>
  <si>
    <t>Year</t>
  </si>
  <si>
    <t>Revenue</t>
  </si>
  <si>
    <t>Gross Profit</t>
  </si>
  <si>
    <t>Net Income</t>
  </si>
  <si>
    <t>Equity</t>
  </si>
  <si>
    <t>CFO</t>
  </si>
  <si>
    <t>CapEx</t>
  </si>
  <si>
    <t>Starbucks</t>
  </si>
  <si>
    <t>COGS</t>
  </si>
  <si>
    <t>Total Debt = Long-term debt + Current portion of long-term debt</t>
  </si>
  <si>
    <t>Long-term debt</t>
  </si>
  <si>
    <t>Current portion of long-term debt</t>
  </si>
  <si>
    <t>Gross Profit=Revenue - Product and distribution costs</t>
  </si>
  <si>
    <t>Net Income=Net earnings attributable to Starbucks</t>
  </si>
  <si>
    <t>CFO=Net cash provided by operating activities</t>
  </si>
  <si>
    <t>CapEx=Additions to property, plant and equipment</t>
  </si>
  <si>
    <t>Peloton</t>
  </si>
  <si>
    <t>COGS=Total cost of revenue</t>
  </si>
  <si>
    <t>Operating Income=Loss from operations</t>
  </si>
  <si>
    <t>Net Income=Net loss</t>
  </si>
  <si>
    <t>Convertible senior notes, net of current portion</t>
  </si>
  <si>
    <t xml:space="preserve">Convertible senior notes, net of current portion		</t>
  </si>
  <si>
    <t xml:space="preserve">Term loan, net of current portion		</t>
  </si>
  <si>
    <t>Capital expenditures</t>
  </si>
  <si>
    <t>0% Convertible senior notes, net</t>
  </si>
  <si>
    <t>Term loan, net</t>
  </si>
  <si>
    <t>Profitability</t>
  </si>
  <si>
    <t>Gross Margin = Gross Profit / Revenue</t>
  </si>
  <si>
    <t>Operating Margin = Operating Income / Revenue</t>
  </si>
  <si>
    <t>Net Margin = Net Income / Revenue</t>
  </si>
  <si>
    <t>Cash Flow</t>
  </si>
  <si>
    <t>FCF = CFO - CapEx</t>
  </si>
  <si>
    <t>FCF Margin = FCF / Revenue</t>
  </si>
  <si>
    <t>Leverage</t>
  </si>
  <si>
    <t>Debt to Equity = Total Debt / Equity</t>
  </si>
  <si>
    <t>Coverage</t>
  </si>
  <si>
    <t>Interest Coverage = Operating Income / Interest Expense</t>
  </si>
  <si>
    <t>Gross Margin</t>
  </si>
  <si>
    <t>Operating Margin</t>
  </si>
  <si>
    <t>Net Margin</t>
  </si>
  <si>
    <t>FCF</t>
  </si>
  <si>
    <t>FCF Margin</t>
  </si>
  <si>
    <t>Debt / Equity</t>
  </si>
  <si>
    <t>Interest Coverage</t>
  </si>
  <si>
    <t>&gt; 10%</t>
  </si>
  <si>
    <t>5% – 10%</t>
  </si>
  <si>
    <t>0 – 5%</t>
  </si>
  <si>
    <t>&lt; 0</t>
  </si>
  <si>
    <t>D/E</t>
  </si>
  <si>
    <t>&lt; 1</t>
  </si>
  <si>
    <t>1–2</t>
  </si>
  <si>
    <t>&gt; 2</t>
  </si>
  <si>
    <t>負 equity</t>
  </si>
  <si>
    <t>&gt; 5</t>
  </si>
  <si>
    <t>2–5</t>
  </si>
  <si>
    <t>Category</t>
  </si>
  <si>
    <t>Score</t>
  </si>
  <si>
    <t>Weight</t>
  </si>
  <si>
    <t>Score_Starbucks</t>
  </si>
  <si>
    <t>Score_Peloton</t>
  </si>
  <si>
    <t>Total</t>
  </si>
  <si>
    <t>Profitability Score =0.4 × Gross Margin+ 0.3 × Operating Margin+ 0.3 × FCF Margin</t>
  </si>
  <si>
    <t>2025_Starbucks</t>
  </si>
  <si>
    <t>2024_Starbucks</t>
  </si>
  <si>
    <t>2023_Starbucks</t>
  </si>
  <si>
    <t>2025_Peloton</t>
  </si>
  <si>
    <t>2024_Peloton</t>
  </si>
  <si>
    <t>2023_Peloton</t>
  </si>
  <si>
    <t>Debt/EBITDA</t>
  </si>
  <si>
    <t>獲利（Net Income）可以透過會計手段調整，但現金流（FCF）才是還款的真實來源。</t>
  </si>
  <si>
    <t>Cash Flow（現金流）」與「Coverage（償債能力）」通常比獲利更重要。</t>
  </si>
  <si>
    <r>
      <t xml:space="preserve">Starbucks 長年進行大規模的股票回購（Buybacks）和發放股利，導致其帳面 </t>
    </r>
    <r>
      <rPr>
        <b/>
        <sz val="12"/>
        <color theme="1"/>
        <rFont val="Aptos Narrow"/>
        <family val="2"/>
        <scheme val="minor"/>
      </rPr>
      <t>Equity（股東權益）為負數</t>
    </r>
  </si>
  <si>
    <r>
      <t>在傳統會計中，負權益代表公司</t>
    </r>
    <r>
      <rPr>
        <b/>
        <sz val="12"/>
        <color theme="1"/>
        <rFont val="Aptos Narrow"/>
        <family val="2"/>
        <scheme val="minor"/>
      </rPr>
      <t>資產不足以抵償負債（技術性資產負債表破產）</t>
    </r>
  </si>
  <si>
    <r>
      <t xml:space="preserve">對於這種特殊公司，建議改用 </t>
    </r>
    <r>
      <rPr>
        <b/>
        <sz val="12"/>
        <color theme="1"/>
        <rFont val="Aptos Narrow"/>
        <family val="2"/>
        <scheme val="minor"/>
      </rPr>
      <t>Debt/EBITDA</t>
    </r>
    <r>
      <rPr>
        <sz val="12"/>
        <color theme="1"/>
        <rFont val="Aptos Narrow"/>
        <family val="2"/>
        <scheme val="minor"/>
      </rPr>
      <t>（債務為息稅折舊攤銷前利潤的幾倍）來衡量槓桿，而非 D/E Ratio</t>
    </r>
  </si>
  <si>
    <t>COGS=Product and distribution costs 銷貨成本</t>
  </si>
  <si>
    <t>EBITDA</t>
  </si>
  <si>
    <t>DA</t>
  </si>
  <si>
    <t>EBITDA/Debt</t>
  </si>
  <si>
    <t>Debt</t>
  </si>
  <si>
    <t>Cash Flow,Coverage才是還錢的主要指標</t>
  </si>
  <si>
    <t>Profitability,Leverage是輔助指標</t>
  </si>
  <si>
    <t>－</t>
  </si>
  <si>
    <t>-</t>
  </si>
  <si>
    <t>(負的沒有參考價值）</t>
  </si>
  <si>
    <t>Coverage利息保障倍數</t>
  </si>
  <si>
    <t>Ｓ＆Ｐ</t>
  </si>
  <si>
    <t>DSCR</t>
  </si>
  <si>
    <t>利息＋本金</t>
  </si>
  <si>
    <t>&gt;1.5健康</t>
  </si>
  <si>
    <t>&lt;1.0警訊</t>
  </si>
  <si>
    <r>
      <t>Watch List or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Classified Assets</t>
    </r>
  </si>
  <si>
    <t>Stable Positive</t>
  </si>
  <si>
    <t>Occasionally Negative</t>
  </si>
  <si>
    <t>Persistently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</si>
</sst>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ptos Narrow"/>
      <scheme val="minor"/>
    </font>
    <font>
      <b/>
      <sz val="11"/>
      <color indexed="8"/>
      <name val="Calibri"/>
      <family val="2"/>
      <charset val="1"/>
    </font>
    <font>
      <sz val="12"/>
      <color rgb="FFFF0000"/>
      <name val="Aptos Narrow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" fontId="0" fillId="0" borderId="0" xfId="0" applyNumberFormat="1"/>
    <xf numFmtId="0" fontId="2" fillId="0" borderId="0" xfId="0" applyFont="1" applyAlignment="1">
      <alignment vertical="top"/>
    </xf>
    <xf numFmtId="44" fontId="2" fillId="0" borderId="0" xfId="0" applyNumberFormat="1" applyFont="1" applyAlignment="1">
      <alignment vertical="top"/>
    </xf>
    <xf numFmtId="39" fontId="2" fillId="0" borderId="0" xfId="0" applyNumberFormat="1" applyFont="1" applyAlignment="1">
      <alignment vertical="top"/>
    </xf>
    <xf numFmtId="44" fontId="0" fillId="0" borderId="0" xfId="0" applyNumberFormat="1"/>
    <xf numFmtId="0" fontId="1" fillId="0" borderId="0" xfId="0" applyFont="1"/>
    <xf numFmtId="8" fontId="0" fillId="0" borderId="0" xfId="0" applyNumberFormat="1"/>
    <xf numFmtId="39" fontId="0" fillId="0" borderId="0" xfId="0" applyNumberFormat="1"/>
    <xf numFmtId="0" fontId="3" fillId="0" borderId="0" xfId="0" applyFont="1" applyAlignment="1">
      <alignment vertical="top"/>
    </xf>
    <xf numFmtId="0" fontId="4" fillId="0" borderId="0" xfId="0" applyFont="1"/>
    <xf numFmtId="2" fontId="0" fillId="0" borderId="0" xfId="0" applyNumberFormat="1"/>
    <xf numFmtId="2" fontId="1" fillId="0" borderId="0" xfId="0" applyNumberFormat="1" applyFont="1"/>
    <xf numFmtId="2" fontId="3" fillId="0" borderId="0" xfId="0" applyNumberFormat="1" applyFont="1" applyAlignment="1">
      <alignment vertical="top"/>
    </xf>
    <xf numFmtId="0" fontId="0" fillId="2" borderId="0" xfId="0" applyFill="1"/>
    <xf numFmtId="9" fontId="0" fillId="0" borderId="0" xfId="0" applyNumberFormat="1"/>
    <xf numFmtId="2" fontId="5" fillId="0" borderId="0" xfId="0" applyNumberFormat="1" applyFont="1"/>
    <xf numFmtId="0" fontId="0" fillId="3" borderId="0" xfId="0" applyFill="1"/>
    <xf numFmtId="0" fontId="0" fillId="4" borderId="0" xfId="0" applyFill="1"/>
    <xf numFmtId="39" fontId="0" fillId="0" borderId="0" xfId="0" applyNumberFormat="1" applyAlignment="1">
      <alignment horizontal="right" vertical="center"/>
    </xf>
    <xf numFmtId="39" fontId="7" fillId="0" borderId="0" xfId="0" applyNumberFormat="1" applyFont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0" fontId="6" fillId="2" borderId="0" xfId="0" applyFont="1" applyFill="1"/>
    <xf numFmtId="0" fontId="0" fillId="5" borderId="0" xfId="0" applyFill="1"/>
    <xf numFmtId="2" fontId="5" fillId="0" borderId="0" xfId="0" applyNumberFormat="1" applyFont="1"/>
    <xf numFmtId="0" fontId="0" fillId="0" borderId="0" xfId="0" applyFill="1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5A86-FD27-B845-AD09-6331200E28DD}">
  <dimension ref="A1:Q16"/>
  <sheetViews>
    <sheetView zoomScale="107" workbookViewId="0">
      <selection activeCell="L15" sqref="L15"/>
    </sheetView>
  </sheetViews>
  <sheetFormatPr baseColWidth="10" defaultRowHeight="16" x14ac:dyDescent="0.2"/>
  <cols>
    <col min="1" max="1" width="11.5" customWidth="1"/>
    <col min="5" max="5" width="11.1640625" bestFit="1" customWidth="1"/>
    <col min="6" max="6" width="15.83203125" bestFit="1" customWidth="1"/>
    <col min="7" max="7" width="10.6640625" bestFit="1" customWidth="1"/>
    <col min="8" max="8" width="14.83203125" bestFit="1" customWidth="1"/>
    <col min="9" max="9" width="14.83203125" customWidth="1"/>
    <col min="10" max="10" width="30.33203125" customWidth="1"/>
    <col min="11" max="11" width="16.33203125" customWidth="1"/>
    <col min="15" max="15" width="11.1640625" bestFit="1" customWidth="1"/>
  </cols>
  <sheetData>
    <row r="1" spans="1:17" x14ac:dyDescent="0.2">
      <c r="A1" s="6" t="s">
        <v>2</v>
      </c>
      <c r="B1" s="6" t="s">
        <v>3</v>
      </c>
      <c r="C1" s="6" t="s">
        <v>11</v>
      </c>
      <c r="D1" s="6" t="s">
        <v>4</v>
      </c>
      <c r="E1" s="6" t="s">
        <v>5</v>
      </c>
      <c r="F1" s="6" t="s">
        <v>0</v>
      </c>
      <c r="G1" s="6" t="s">
        <v>6</v>
      </c>
      <c r="H1" s="6" t="s">
        <v>1</v>
      </c>
      <c r="I1" s="9" t="s">
        <v>13</v>
      </c>
      <c r="J1" s="9" t="s">
        <v>14</v>
      </c>
      <c r="K1" s="9" t="s">
        <v>90</v>
      </c>
      <c r="L1" s="6" t="s">
        <v>81</v>
      </c>
      <c r="M1" s="6" t="s">
        <v>79</v>
      </c>
      <c r="N1" s="6" t="s">
        <v>78</v>
      </c>
      <c r="O1" s="6" t="s">
        <v>7</v>
      </c>
      <c r="P1" s="6" t="s">
        <v>8</v>
      </c>
      <c r="Q1" s="6" t="s">
        <v>9</v>
      </c>
    </row>
    <row r="2" spans="1:17" x14ac:dyDescent="0.2">
      <c r="A2" t="s">
        <v>10</v>
      </c>
      <c r="B2">
        <v>2025</v>
      </c>
      <c r="C2" s="4">
        <v>11658.2</v>
      </c>
      <c r="D2" s="4">
        <v>37184.400000000001</v>
      </c>
      <c r="E2" s="8">
        <f>D2-C2</f>
        <v>25526.2</v>
      </c>
      <c r="F2" s="1">
        <v>2936.6</v>
      </c>
      <c r="G2" s="3">
        <v>1856.4</v>
      </c>
      <c r="H2" s="4">
        <v>-542.6</v>
      </c>
      <c r="I2" s="4">
        <v>14575.9</v>
      </c>
      <c r="J2" s="4">
        <v>1498.9</v>
      </c>
      <c r="K2" s="4">
        <f>H2+J2</f>
        <v>956.30000000000007</v>
      </c>
      <c r="L2" s="8">
        <f>H2+J2</f>
        <v>956.30000000000007</v>
      </c>
      <c r="M2" s="19">
        <v>1684.7</v>
      </c>
      <c r="N2" s="8">
        <f>F2+M2</f>
        <v>4621.3</v>
      </c>
      <c r="O2" s="3">
        <v>-8096.6</v>
      </c>
      <c r="P2" s="1">
        <v>4747.5</v>
      </c>
      <c r="Q2" s="1">
        <v>-2305.5</v>
      </c>
    </row>
    <row r="3" spans="1:17" x14ac:dyDescent="0.2">
      <c r="B3">
        <v>2024</v>
      </c>
      <c r="C3" s="4">
        <v>11180.6</v>
      </c>
      <c r="D3" s="4">
        <v>36176.199999999997</v>
      </c>
      <c r="E3" s="8">
        <f t="shared" ref="E3:E6" si="0">D3-C3</f>
        <v>24995.599999999999</v>
      </c>
      <c r="F3" s="4">
        <v>5408.8</v>
      </c>
      <c r="G3" s="3">
        <v>3760.9</v>
      </c>
      <c r="H3" s="4">
        <v>-562</v>
      </c>
      <c r="I3" s="4">
        <v>14319.5</v>
      </c>
      <c r="J3" s="4">
        <v>1248.9000000000001</v>
      </c>
      <c r="K3" s="4">
        <f t="shared" ref="K3:K6" si="1">H3+J3</f>
        <v>686.90000000000009</v>
      </c>
      <c r="L3" s="8">
        <f t="shared" ref="L3:L6" si="2">H3+J3</f>
        <v>686.90000000000009</v>
      </c>
      <c r="M3" s="20">
        <v>1512.6</v>
      </c>
      <c r="N3" s="8">
        <f t="shared" ref="N3:N6" si="3">F3+M3</f>
        <v>6921.4</v>
      </c>
      <c r="O3" s="3">
        <v>-7448.9</v>
      </c>
      <c r="P3" s="4">
        <v>6095.6</v>
      </c>
      <c r="Q3" s="4">
        <v>-2777.5</v>
      </c>
    </row>
    <row r="4" spans="1:17" x14ac:dyDescent="0.2">
      <c r="B4">
        <v>2023</v>
      </c>
      <c r="C4" s="4">
        <v>11409.1</v>
      </c>
      <c r="D4" s="4">
        <v>35975.599999999999</v>
      </c>
      <c r="E4" s="8">
        <f t="shared" si="0"/>
        <v>24566.5</v>
      </c>
      <c r="F4" s="4">
        <v>5870.8</v>
      </c>
      <c r="G4" s="3">
        <v>4124.5</v>
      </c>
      <c r="H4" s="4">
        <v>-550.1</v>
      </c>
      <c r="I4" s="4">
        <v>13547.6</v>
      </c>
      <c r="J4" s="4">
        <v>1818.6</v>
      </c>
      <c r="K4" s="4">
        <f t="shared" si="1"/>
        <v>1268.5</v>
      </c>
      <c r="L4" s="8">
        <f t="shared" si="2"/>
        <v>1268.5</v>
      </c>
      <c r="M4" s="21">
        <v>1362.6</v>
      </c>
      <c r="N4" s="8">
        <f t="shared" si="3"/>
        <v>7233.4</v>
      </c>
      <c r="O4" s="3">
        <v>-7994.8</v>
      </c>
      <c r="P4" s="4">
        <v>6008.7</v>
      </c>
      <c r="Q4" s="1">
        <v>-2333.6</v>
      </c>
    </row>
    <row r="5" spans="1:17" x14ac:dyDescent="0.2">
      <c r="B5">
        <v>2022</v>
      </c>
      <c r="C5" s="4">
        <v>10317.4</v>
      </c>
      <c r="D5" s="4">
        <v>32250.3</v>
      </c>
      <c r="E5" s="8">
        <f t="shared" si="0"/>
        <v>21932.9</v>
      </c>
      <c r="F5" s="1">
        <v>4617.8</v>
      </c>
      <c r="G5" s="7">
        <v>3281.6</v>
      </c>
      <c r="H5" s="4">
        <v>-482.9</v>
      </c>
      <c r="I5" s="4">
        <v>13119.9</v>
      </c>
      <c r="J5" s="4">
        <v>1749</v>
      </c>
      <c r="K5" s="4">
        <f t="shared" si="1"/>
        <v>1266.0999999999999</v>
      </c>
      <c r="L5" s="8">
        <f t="shared" si="2"/>
        <v>1266.0999999999999</v>
      </c>
      <c r="M5" s="20">
        <v>1447.9</v>
      </c>
      <c r="N5" s="8">
        <f t="shared" si="3"/>
        <v>6065.7000000000007</v>
      </c>
      <c r="O5" s="5">
        <v>-8706.6</v>
      </c>
      <c r="P5" s="4">
        <v>4397.3</v>
      </c>
      <c r="Q5" s="1">
        <v>-1841.3</v>
      </c>
    </row>
    <row r="6" spans="1:17" x14ac:dyDescent="0.2">
      <c r="B6" s="2">
        <v>2021</v>
      </c>
      <c r="C6" s="4">
        <v>8738.7000000000007</v>
      </c>
      <c r="D6" s="4">
        <v>32250.3</v>
      </c>
      <c r="E6" s="8">
        <f t="shared" si="0"/>
        <v>23511.599999999999</v>
      </c>
      <c r="F6" s="4">
        <v>4872.1000000000004</v>
      </c>
      <c r="G6" s="3">
        <v>4199.3</v>
      </c>
      <c r="H6" s="4">
        <v>-469.8</v>
      </c>
      <c r="I6" s="4">
        <v>13616.9</v>
      </c>
      <c r="J6" s="4">
        <v>998.9</v>
      </c>
      <c r="K6" s="4">
        <f t="shared" si="1"/>
        <v>529.09999999999991</v>
      </c>
      <c r="L6" s="8">
        <f t="shared" si="2"/>
        <v>529.09999999999991</v>
      </c>
      <c r="M6" s="19">
        <v>1441.7</v>
      </c>
      <c r="N6" s="8">
        <f t="shared" si="3"/>
        <v>6313.8</v>
      </c>
      <c r="O6" s="3">
        <v>-5321.2</v>
      </c>
      <c r="P6" s="4">
        <v>5989.1</v>
      </c>
      <c r="Q6" s="4">
        <v>-1470</v>
      </c>
    </row>
    <row r="9" spans="1:17" x14ac:dyDescent="0.2">
      <c r="F9">
        <f>F2/H2</f>
        <v>-5.412089937338739</v>
      </c>
    </row>
    <row r="11" spans="1:17" x14ac:dyDescent="0.2">
      <c r="A11" t="s">
        <v>12</v>
      </c>
    </row>
    <row r="12" spans="1:17" x14ac:dyDescent="0.2">
      <c r="A12" s="10" t="s">
        <v>77</v>
      </c>
    </row>
    <row r="13" spans="1:17" x14ac:dyDescent="0.2">
      <c r="A13" t="s">
        <v>15</v>
      </c>
    </row>
    <row r="14" spans="1:17" x14ac:dyDescent="0.2">
      <c r="A14" t="s">
        <v>16</v>
      </c>
    </row>
    <row r="15" spans="1:17" x14ac:dyDescent="0.2">
      <c r="A15" t="s">
        <v>17</v>
      </c>
    </row>
    <row r="16" spans="1:17" x14ac:dyDescent="0.2">
      <c r="A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3532-C23F-E84E-8049-E961D5FBCB35}">
  <dimension ref="A1:Q22"/>
  <sheetViews>
    <sheetView zoomScale="99" workbookViewId="0">
      <selection activeCell="K10" sqref="K10"/>
    </sheetView>
  </sheetViews>
  <sheetFormatPr baseColWidth="10" defaultRowHeight="16" x14ac:dyDescent="0.2"/>
  <cols>
    <col min="1" max="1" width="39.83203125" style="11" bestFit="1" customWidth="1"/>
    <col min="2" max="5" width="11" style="11" bestFit="1" customWidth="1"/>
    <col min="6" max="6" width="16" style="11" bestFit="1" customWidth="1"/>
    <col min="7" max="7" width="11.1640625" style="11" bestFit="1" customWidth="1"/>
    <col min="8" max="8" width="15" style="11" bestFit="1" customWidth="1"/>
    <col min="9" max="9" width="13.5" style="11" bestFit="1" customWidth="1"/>
    <col min="10" max="10" width="28.1640625" style="11" bestFit="1" customWidth="1"/>
    <col min="11" max="11" width="28.1640625" style="11" customWidth="1"/>
    <col min="12" max="13" width="11" style="11" bestFit="1" customWidth="1"/>
    <col min="14" max="14" width="11" style="11" customWidth="1"/>
    <col min="15" max="17" width="11" style="11" bestFit="1" customWidth="1"/>
    <col min="18" max="16384" width="10.83203125" style="11"/>
  </cols>
  <sheetData>
    <row r="1" spans="1:17" x14ac:dyDescent="0.2">
      <c r="A1" s="12" t="s">
        <v>2</v>
      </c>
      <c r="B1" s="12" t="s">
        <v>3</v>
      </c>
      <c r="C1" s="12" t="s">
        <v>11</v>
      </c>
      <c r="D1" s="12" t="s">
        <v>4</v>
      </c>
      <c r="E1" s="12" t="s">
        <v>5</v>
      </c>
      <c r="F1" s="12" t="s">
        <v>0</v>
      </c>
      <c r="G1" s="12" t="s">
        <v>6</v>
      </c>
      <c r="H1" s="12" t="s">
        <v>1</v>
      </c>
      <c r="I1" s="13" t="s">
        <v>13</v>
      </c>
      <c r="J1" s="13" t="s">
        <v>14</v>
      </c>
      <c r="K1" s="13" t="s">
        <v>90</v>
      </c>
      <c r="L1" s="12" t="s">
        <v>81</v>
      </c>
      <c r="M1" s="12" t="s">
        <v>79</v>
      </c>
      <c r="N1" s="12" t="s">
        <v>78</v>
      </c>
      <c r="O1" s="12" t="s">
        <v>7</v>
      </c>
      <c r="P1" s="12" t="s">
        <v>8</v>
      </c>
      <c r="Q1" s="12" t="s">
        <v>9</v>
      </c>
    </row>
    <row r="2" spans="1:17" x14ac:dyDescent="0.2">
      <c r="A2" s="11" t="s">
        <v>19</v>
      </c>
      <c r="B2" s="11">
        <v>2025</v>
      </c>
      <c r="C2" s="5">
        <v>1222.5</v>
      </c>
      <c r="D2" s="11">
        <v>2490.8000000000002</v>
      </c>
      <c r="E2" s="11">
        <v>1268.3</v>
      </c>
      <c r="F2" s="5">
        <v>-36.200000000000003</v>
      </c>
      <c r="G2" s="5">
        <v>-118.9</v>
      </c>
      <c r="H2" s="5">
        <v>-134.5</v>
      </c>
      <c r="I2" s="5">
        <f>B20+D21</f>
        <v>1290.5</v>
      </c>
      <c r="J2" s="5">
        <v>208.5</v>
      </c>
      <c r="K2" s="5">
        <f>H2+J2</f>
        <v>74</v>
      </c>
      <c r="L2" s="5">
        <f>H2+J2</f>
        <v>74</v>
      </c>
      <c r="M2" s="11">
        <v>89.7</v>
      </c>
      <c r="N2" s="5">
        <f>F2+M2</f>
        <v>53.5</v>
      </c>
      <c r="O2" s="5">
        <v>-413.8</v>
      </c>
      <c r="P2" s="5">
        <v>333</v>
      </c>
      <c r="Q2" s="5">
        <v>-9.3000000000000007</v>
      </c>
    </row>
    <row r="3" spans="1:17" x14ac:dyDescent="0.2">
      <c r="B3" s="11">
        <v>2024</v>
      </c>
      <c r="C3" s="5">
        <v>1494</v>
      </c>
      <c r="D3" s="11">
        <v>2700.5</v>
      </c>
      <c r="E3" s="11">
        <v>1206.5</v>
      </c>
      <c r="F3" s="5">
        <v>-529</v>
      </c>
      <c r="G3" s="5">
        <v>-551.9</v>
      </c>
      <c r="H3" s="5">
        <v>-112.5</v>
      </c>
      <c r="I3" s="5">
        <f>D20+F21</f>
        <v>1490.1</v>
      </c>
      <c r="J3" s="5">
        <v>10</v>
      </c>
      <c r="K3" s="5">
        <f t="shared" ref="K3:K5" si="0">H3+J3</f>
        <v>-102.5</v>
      </c>
      <c r="L3" s="5">
        <f t="shared" ref="L3:L5" si="1">H3+J3</f>
        <v>-102.5</v>
      </c>
      <c r="M3" s="11">
        <v>108.8</v>
      </c>
      <c r="N3" s="5">
        <f t="shared" ref="N3:N5" si="2">F3+M3</f>
        <v>-420.2</v>
      </c>
      <c r="O3" s="5">
        <v>-519.1</v>
      </c>
      <c r="P3" s="5">
        <v>-66.099999999999994</v>
      </c>
      <c r="Q3" s="5">
        <v>-19.7</v>
      </c>
    </row>
    <row r="4" spans="1:17" x14ac:dyDescent="0.2">
      <c r="B4" s="11">
        <v>2023</v>
      </c>
      <c r="C4" s="5">
        <v>1876.7</v>
      </c>
      <c r="D4" s="5">
        <v>2800.2</v>
      </c>
      <c r="E4" s="5">
        <v>923.5</v>
      </c>
      <c r="F4" s="5">
        <v>-1197.0999999999999</v>
      </c>
      <c r="G4" s="5">
        <v>-1261.7</v>
      </c>
      <c r="H4" s="5">
        <v>-97.1</v>
      </c>
      <c r="I4" s="5">
        <f>J20+L21</f>
        <v>1678.9</v>
      </c>
      <c r="J4" s="5">
        <v>7.5</v>
      </c>
      <c r="K4" s="5">
        <f t="shared" si="0"/>
        <v>-89.6</v>
      </c>
      <c r="L4" s="5">
        <f t="shared" si="1"/>
        <v>-89.6</v>
      </c>
      <c r="M4" s="11">
        <v>124.3</v>
      </c>
      <c r="N4" s="5">
        <f t="shared" si="2"/>
        <v>-1072.8</v>
      </c>
      <c r="O4" s="5">
        <v>-295.10000000000002</v>
      </c>
      <c r="P4" s="5">
        <v>-387.6</v>
      </c>
      <c r="Q4" s="5">
        <v>-82.4</v>
      </c>
    </row>
    <row r="5" spans="1:17" x14ac:dyDescent="0.2">
      <c r="B5" s="11">
        <v>2022</v>
      </c>
      <c r="C5" s="5">
        <v>2883.8</v>
      </c>
      <c r="D5" s="5">
        <v>3582.1</v>
      </c>
      <c r="E5" s="5">
        <v>698.4</v>
      </c>
      <c r="F5" s="5">
        <v>-2734</v>
      </c>
      <c r="G5" s="5">
        <v>-2827.7</v>
      </c>
      <c r="H5" s="5">
        <v>-43</v>
      </c>
      <c r="I5" s="5">
        <f>O20+P21</f>
        <v>1554</v>
      </c>
      <c r="J5" s="5">
        <v>7.5</v>
      </c>
      <c r="K5" s="5">
        <f t="shared" si="0"/>
        <v>-35.5</v>
      </c>
      <c r="L5" s="5">
        <f t="shared" si="1"/>
        <v>-35.5</v>
      </c>
      <c r="M5" s="11">
        <v>142.80000000000001</v>
      </c>
      <c r="N5" s="5">
        <f t="shared" si="2"/>
        <v>-2591.1999999999998</v>
      </c>
      <c r="O5" s="5">
        <v>592.9</v>
      </c>
      <c r="P5" s="5">
        <v>-2020</v>
      </c>
      <c r="Q5" s="5">
        <v>-337.3</v>
      </c>
    </row>
    <row r="9" spans="1:17" x14ac:dyDescent="0.2">
      <c r="E9" s="11">
        <v>1268.3</v>
      </c>
    </row>
    <row r="10" spans="1:17" x14ac:dyDescent="0.2">
      <c r="E10" s="11">
        <v>2490.8000000000002</v>
      </c>
    </row>
    <row r="11" spans="1:17" x14ac:dyDescent="0.2">
      <c r="A11" s="11" t="s">
        <v>20</v>
      </c>
      <c r="E11" s="11">
        <v>2700.5</v>
      </c>
    </row>
    <row r="12" spans="1:17" x14ac:dyDescent="0.2">
      <c r="A12" s="11" t="s">
        <v>21</v>
      </c>
      <c r="E12" s="11">
        <v>1206.5</v>
      </c>
    </row>
    <row r="13" spans="1:17" x14ac:dyDescent="0.2">
      <c r="A13" s="11" t="s">
        <v>22</v>
      </c>
    </row>
    <row r="14" spans="1:17" x14ac:dyDescent="0.2">
      <c r="A14" s="11" t="s">
        <v>26</v>
      </c>
    </row>
    <row r="15" spans="1:17" x14ac:dyDescent="0.2">
      <c r="A15" s="11" t="s">
        <v>23</v>
      </c>
    </row>
    <row r="20" spans="1:17" x14ac:dyDescent="0.2">
      <c r="A20" s="11" t="s">
        <v>24</v>
      </c>
      <c r="B20" s="24">
        <v>343.6</v>
      </c>
      <c r="C20" s="24"/>
      <c r="D20" s="24">
        <v>540</v>
      </c>
      <c r="E20" s="24"/>
      <c r="H20" s="11" t="s">
        <v>27</v>
      </c>
      <c r="J20" s="24">
        <v>988</v>
      </c>
      <c r="K20" s="24"/>
      <c r="L20" s="24"/>
      <c r="M20" s="16"/>
      <c r="N20" s="16"/>
      <c r="O20" s="24">
        <v>864</v>
      </c>
      <c r="P20" s="24"/>
    </row>
    <row r="21" spans="1:17" x14ac:dyDescent="0.2">
      <c r="A21" s="11" t="s">
        <v>25</v>
      </c>
      <c r="D21" s="24">
        <v>946.9</v>
      </c>
      <c r="E21" s="24"/>
      <c r="F21" s="24">
        <v>950.1</v>
      </c>
      <c r="G21" s="24"/>
      <c r="H21" s="24" t="s">
        <v>28</v>
      </c>
      <c r="I21" s="24"/>
      <c r="J21" s="24"/>
      <c r="K21" s="16"/>
      <c r="L21" s="11">
        <v>690.9</v>
      </c>
      <c r="P21" s="24">
        <v>690</v>
      </c>
      <c r="Q21" s="24"/>
    </row>
    <row r="22" spans="1:17" x14ac:dyDescent="0.2">
      <c r="B22" s="24"/>
      <c r="C22" s="24"/>
      <c r="D22" s="24"/>
      <c r="E22" s="24"/>
    </row>
  </sheetData>
  <mergeCells count="10">
    <mergeCell ref="J20:L20"/>
    <mergeCell ref="O20:P20"/>
    <mergeCell ref="H21:J21"/>
    <mergeCell ref="P21:Q21"/>
    <mergeCell ref="B22:C22"/>
    <mergeCell ref="D22:E22"/>
    <mergeCell ref="B20:C20"/>
    <mergeCell ref="D21:E21"/>
    <mergeCell ref="F21:G21"/>
    <mergeCell ref="D20:E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4012-AB5C-934B-B520-2611D819FC18}">
  <dimension ref="A1:O56"/>
  <sheetViews>
    <sheetView tabSelected="1" zoomScale="83" workbookViewId="0">
      <selection activeCell="K17" sqref="K17"/>
    </sheetView>
  </sheetViews>
  <sheetFormatPr baseColWidth="10" defaultRowHeight="16" x14ac:dyDescent="0.2"/>
  <cols>
    <col min="1" max="1" width="39.5" customWidth="1"/>
    <col min="2" max="2" width="16.6640625" customWidth="1"/>
    <col min="3" max="3" width="11.1640625" bestFit="1" customWidth="1"/>
    <col min="5" max="5" width="11.1640625" bestFit="1" customWidth="1"/>
    <col min="8" max="8" width="16.1640625" customWidth="1"/>
  </cols>
  <sheetData>
    <row r="1" spans="1:15" x14ac:dyDescent="0.2">
      <c r="A1" t="s">
        <v>29</v>
      </c>
      <c r="B1" s="2" t="s">
        <v>30</v>
      </c>
    </row>
    <row r="2" spans="1:15" x14ac:dyDescent="0.2">
      <c r="B2" t="s">
        <v>31</v>
      </c>
    </row>
    <row r="3" spans="1:15" x14ac:dyDescent="0.2">
      <c r="B3" t="s">
        <v>32</v>
      </c>
      <c r="C3" s="2"/>
      <c r="H3" s="6" t="s">
        <v>42</v>
      </c>
      <c r="I3" s="6"/>
      <c r="J3" s="6" t="s">
        <v>43</v>
      </c>
      <c r="K3" s="6"/>
      <c r="L3" s="6" t="s">
        <v>51</v>
      </c>
      <c r="M3" s="6"/>
      <c r="N3" s="6" t="s">
        <v>38</v>
      </c>
      <c r="O3" s="6"/>
    </row>
    <row r="4" spans="1:15" x14ac:dyDescent="0.2">
      <c r="C4" s="2"/>
      <c r="H4" t="s">
        <v>47</v>
      </c>
      <c r="I4">
        <v>5</v>
      </c>
      <c r="J4" t="s">
        <v>94</v>
      </c>
      <c r="K4">
        <v>5</v>
      </c>
      <c r="L4" t="s">
        <v>52</v>
      </c>
      <c r="M4">
        <v>5</v>
      </c>
      <c r="N4" t="s">
        <v>56</v>
      </c>
      <c r="O4">
        <v>5</v>
      </c>
    </row>
    <row r="5" spans="1:15" x14ac:dyDescent="0.2">
      <c r="A5" t="s">
        <v>33</v>
      </c>
      <c r="B5" t="s">
        <v>34</v>
      </c>
      <c r="C5" s="2"/>
      <c r="H5" t="s">
        <v>48</v>
      </c>
      <c r="I5">
        <v>4</v>
      </c>
      <c r="J5" t="s">
        <v>95</v>
      </c>
      <c r="K5">
        <v>3</v>
      </c>
      <c r="L5" t="s">
        <v>53</v>
      </c>
      <c r="M5">
        <v>4</v>
      </c>
      <c r="N5" t="s">
        <v>57</v>
      </c>
      <c r="O5">
        <v>4</v>
      </c>
    </row>
    <row r="6" spans="1:15" x14ac:dyDescent="0.2">
      <c r="B6" t="s">
        <v>35</v>
      </c>
      <c r="C6" s="2"/>
      <c r="H6" t="s">
        <v>49</v>
      </c>
      <c r="I6">
        <v>3</v>
      </c>
      <c r="J6" t="s">
        <v>96</v>
      </c>
      <c r="K6">
        <v>1</v>
      </c>
      <c r="L6" t="s">
        <v>54</v>
      </c>
      <c r="M6">
        <v>2</v>
      </c>
      <c r="N6" t="s">
        <v>53</v>
      </c>
      <c r="O6">
        <v>2</v>
      </c>
    </row>
    <row r="7" spans="1:15" x14ac:dyDescent="0.2">
      <c r="H7" t="s">
        <v>50</v>
      </c>
      <c r="I7">
        <v>1</v>
      </c>
      <c r="L7" t="s">
        <v>55</v>
      </c>
      <c r="M7">
        <v>1</v>
      </c>
      <c r="N7" t="s">
        <v>52</v>
      </c>
      <c r="O7">
        <v>1</v>
      </c>
    </row>
    <row r="8" spans="1:15" x14ac:dyDescent="0.2">
      <c r="A8" t="s">
        <v>36</v>
      </c>
      <c r="B8" t="s">
        <v>37</v>
      </c>
    </row>
    <row r="9" spans="1:15" x14ac:dyDescent="0.2">
      <c r="I9" s="26"/>
      <c r="J9" s="26"/>
      <c r="K9" s="26"/>
    </row>
    <row r="10" spans="1:15" x14ac:dyDescent="0.2">
      <c r="A10" t="s">
        <v>87</v>
      </c>
      <c r="B10" t="s">
        <v>39</v>
      </c>
      <c r="I10" s="26"/>
      <c r="J10" s="26"/>
      <c r="K10" s="26"/>
    </row>
    <row r="11" spans="1:15" x14ac:dyDescent="0.2">
      <c r="I11" s="26"/>
      <c r="J11" s="26"/>
      <c r="K11" s="26"/>
    </row>
    <row r="12" spans="1:15" x14ac:dyDescent="0.2">
      <c r="I12" s="26"/>
      <c r="J12" s="26"/>
      <c r="K12" s="26"/>
    </row>
    <row r="13" spans="1:15" x14ac:dyDescent="0.2">
      <c r="A13" s="6" t="s">
        <v>10</v>
      </c>
      <c r="B13" s="6">
        <v>2025</v>
      </c>
      <c r="C13" s="6">
        <v>2024</v>
      </c>
      <c r="D13" s="6">
        <v>2023</v>
      </c>
      <c r="E13" s="6">
        <v>2022</v>
      </c>
    </row>
    <row r="14" spans="1:15" x14ac:dyDescent="0.2">
      <c r="A14" t="s">
        <v>40</v>
      </c>
      <c r="B14">
        <f>Raw_Starbucks!E2/Raw_Starbucks!D2</f>
        <v>0.68647604909585735</v>
      </c>
      <c r="C14">
        <f>Raw_Starbucks!E3/Raw_Starbucks!D3</f>
        <v>0.69094045256273462</v>
      </c>
      <c r="D14">
        <f>Raw_Starbucks!E4/Raw_Starbucks!D4</f>
        <v>0.68286560891270753</v>
      </c>
      <c r="E14">
        <f>Raw_Starbucks!E5/Raw_Starbucks!D5</f>
        <v>0.68008359612158653</v>
      </c>
    </row>
    <row r="15" spans="1:15" x14ac:dyDescent="0.2">
      <c r="A15" t="s">
        <v>41</v>
      </c>
      <c r="B15">
        <f>Raw_Starbucks!F2/Raw_Starbucks!D2</f>
        <v>7.8973978335000694E-2</v>
      </c>
      <c r="C15">
        <f>Raw_Starbucks!F3/Raw_Starbucks!D3</f>
        <v>0.14951266302154456</v>
      </c>
      <c r="D15">
        <f>Raw_Starbucks!F4/Raw_Starbucks!D4</f>
        <v>0.16318838323752766</v>
      </c>
      <c r="E15">
        <f>Raw_Starbucks!F5/Raw_Starbucks!D5</f>
        <v>0.1431862649339696</v>
      </c>
    </row>
    <row r="16" spans="1:15" x14ac:dyDescent="0.2">
      <c r="A16" s="14" t="s">
        <v>42</v>
      </c>
      <c r="B16">
        <f>Raw_Starbucks!G2/Raw_Starbucks!D2</f>
        <v>4.9924161745248011E-2</v>
      </c>
      <c r="C16">
        <f>Raw_Starbucks!G2/Raw_Starbucks!D2</f>
        <v>4.9924161745248011E-2</v>
      </c>
      <c r="D16">
        <f>Raw_Starbucks!G4/Raw_Starbucks!D4</f>
        <v>0.11464714973482028</v>
      </c>
      <c r="E16">
        <f>Raw_Starbucks!G5/Raw_Starbucks!D5</f>
        <v>0.10175409220999494</v>
      </c>
    </row>
    <row r="17" spans="1:5" x14ac:dyDescent="0.2">
      <c r="A17" s="14" t="s">
        <v>43</v>
      </c>
      <c r="B17">
        <f>Raw_Starbucks!P2-Raw_Starbucks!Q2</f>
        <v>7053</v>
      </c>
      <c r="C17">
        <f>Raw_Starbucks!P3-Raw_Starbucks!Q3</f>
        <v>8873.1</v>
      </c>
      <c r="D17">
        <f>Raw_Starbucks!P4-Raw_Starbucks!Q4</f>
        <v>8342.2999999999993</v>
      </c>
      <c r="E17">
        <f>Raw_Starbucks!P5-Raw_Starbucks!Q5</f>
        <v>6238.6</v>
      </c>
    </row>
    <row r="18" spans="1:5" x14ac:dyDescent="0.2">
      <c r="A18" t="s">
        <v>44</v>
      </c>
      <c r="B18">
        <f>B17/Raw_Starbucks!D2</f>
        <v>0.18967631587439893</v>
      </c>
      <c r="C18">
        <f>C17/Raw_Starbucks!D3</f>
        <v>0.24527451750045612</v>
      </c>
      <c r="D18">
        <f>D17/Raw_Starbucks!D4</f>
        <v>0.23188772390175563</v>
      </c>
      <c r="E18">
        <f>E17/Raw_Starbucks!D5</f>
        <v>0.19344316176903784</v>
      </c>
    </row>
    <row r="19" spans="1:5" x14ac:dyDescent="0.2">
      <c r="A19" s="14" t="s">
        <v>45</v>
      </c>
      <c r="B19" s="17">
        <f>Raw_Starbucks!L2/Raw_Starbucks!O2</f>
        <v>-0.11811130598028803</v>
      </c>
      <c r="C19" s="17">
        <f>Raw_Starbucks!L3/Raw_Starbucks!O3</f>
        <v>-9.2214957913248949E-2</v>
      </c>
      <c r="D19" s="17">
        <f>Raw_Starbucks!L4/Raw_Starbucks!O4</f>
        <v>-0.15866563266122979</v>
      </c>
      <c r="E19" s="17">
        <f>Raw_Starbucks!L5/Raw_Starbucks!O5</f>
        <v>-0.14541841821147175</v>
      </c>
    </row>
    <row r="20" spans="1:5" x14ac:dyDescent="0.2">
      <c r="A20" s="23" t="s">
        <v>71</v>
      </c>
      <c r="B20" s="23">
        <f>Raw_Starbucks!L2/Raw_Starbucks!N2</f>
        <v>0.20693311405881462</v>
      </c>
      <c r="C20" s="23">
        <f>Raw_Starbucks!L3/Raw_Starbucks!N3</f>
        <v>9.9242927731383837E-2</v>
      </c>
      <c r="D20" s="23">
        <f>Raw_Starbucks!L4/Raw_Starbucks!N4</f>
        <v>0.17536704730831976</v>
      </c>
      <c r="E20" s="23">
        <f>Raw_Starbucks!L5/Raw_Starbucks!N5</f>
        <v>0.20873106154277327</v>
      </c>
    </row>
    <row r="21" spans="1:5" x14ac:dyDescent="0.2">
      <c r="A21" s="23" t="s">
        <v>89</v>
      </c>
      <c r="B21" s="23">
        <f>Raw_Starbucks!N2/Raw_Starbucks!K2</f>
        <v>4.8324793474850987</v>
      </c>
      <c r="C21" s="23">
        <f>Raw_Starbucks!N3/Raw_Starbucks!K3</f>
        <v>10.076284757606636</v>
      </c>
      <c r="D21" s="23">
        <f>Raw_Starbucks!N4/Raw_Starbucks!K4</f>
        <v>5.7023255813953488</v>
      </c>
      <c r="E21" s="23">
        <f>Raw_Starbucks!N5/Raw_Starbucks!L5</f>
        <v>4.7908538030171401</v>
      </c>
    </row>
    <row r="22" spans="1:5" x14ac:dyDescent="0.2">
      <c r="A22" s="14" t="s">
        <v>46</v>
      </c>
      <c r="B22">
        <f>Raw_Starbucks!F2/ABS(Raw_Starbucks!H2)</f>
        <v>5.412089937338739</v>
      </c>
      <c r="C22">
        <f>Raw_Starbucks!F3/ABS(Raw_Starbucks!H3)</f>
        <v>9.6241992882562286</v>
      </c>
      <c r="D22">
        <f>Raw_Starbucks!F4/ABS(Raw_Starbucks!H4)</f>
        <v>10.672241410652608</v>
      </c>
      <c r="E22">
        <f>Raw_Starbucks!F5/ABS(Raw_Starbucks!H5)</f>
        <v>9.5626423690205016</v>
      </c>
    </row>
    <row r="24" spans="1:5" x14ac:dyDescent="0.2">
      <c r="A24" s="6" t="s">
        <v>19</v>
      </c>
      <c r="B24" s="6">
        <v>2025</v>
      </c>
      <c r="C24" s="6">
        <v>2024</v>
      </c>
      <c r="D24" s="6">
        <v>2023</v>
      </c>
      <c r="E24" s="6">
        <v>2022</v>
      </c>
    </row>
    <row r="25" spans="1:5" x14ac:dyDescent="0.2">
      <c r="A25" t="s">
        <v>40</v>
      </c>
      <c r="B25">
        <f>Raw_Peloton!E2/Raw_Peloton!D2</f>
        <v>0.50919383330656809</v>
      </c>
      <c r="C25">
        <f>Raw_Peloton!E3/Raw_Peloton!D3</f>
        <v>0.44676911683021664</v>
      </c>
      <c r="D25">
        <f>Raw_Peloton!E4/Raw_Peloton!D4</f>
        <v>0.32979787158060142</v>
      </c>
      <c r="E25">
        <f>Raw_Peloton!E5/Raw_Peloton!D5</f>
        <v>0.19496943133915859</v>
      </c>
    </row>
    <row r="26" spans="1:5" x14ac:dyDescent="0.2">
      <c r="A26" t="s">
        <v>41</v>
      </c>
      <c r="B26">
        <f>Raw_Peloton!F2/Raw_Peloton!D2</f>
        <v>-1.4533483218243135E-2</v>
      </c>
      <c r="C26">
        <f>Raw_Peloton!F3/Raw_Peloton!D3</f>
        <v>-0.1958896500648028</v>
      </c>
      <c r="D26">
        <f>Raw_Peloton!F4/Raw_Peloton!D4</f>
        <v>-0.42750517820155703</v>
      </c>
      <c r="E26">
        <f>Raw_Peloton!F5/Raw_Peloton!D5</f>
        <v>-0.76323944055163173</v>
      </c>
    </row>
    <row r="27" spans="1:5" x14ac:dyDescent="0.2">
      <c r="A27" s="14" t="s">
        <v>42</v>
      </c>
      <c r="B27">
        <f>Raw_Peloton!G2/Raw_Peloton!D2</f>
        <v>-4.7735667255500241E-2</v>
      </c>
      <c r="C27">
        <f>Raw_Peloton!G3/Raw_Peloton!D3</f>
        <v>-0.20436956119237176</v>
      </c>
      <c r="D27">
        <f>Raw_Peloton!G4/Raw_Peloton!D4</f>
        <v>-0.45057495893150495</v>
      </c>
      <c r="E27">
        <f>Raw_Peloton!G5/Raw_Peloton!D5</f>
        <v>-0.78939728092459727</v>
      </c>
    </row>
    <row r="28" spans="1:5" x14ac:dyDescent="0.2">
      <c r="A28" s="14" t="s">
        <v>43</v>
      </c>
      <c r="B28">
        <f>Raw_Peloton!P2-Raw_Peloton!Q2</f>
        <v>342.3</v>
      </c>
      <c r="C28">
        <f>Raw_Peloton!P3-Raw_Peloton!Q3</f>
        <v>-46.399999999999991</v>
      </c>
      <c r="D28">
        <f>Raw_Peloton!P4-Raw_Peloton!Q4</f>
        <v>-305.20000000000005</v>
      </c>
      <c r="E28">
        <f>Raw_Peloton!P5-Raw_Peloton!Q5</f>
        <v>-1682.7</v>
      </c>
    </row>
    <row r="29" spans="1:5" x14ac:dyDescent="0.2">
      <c r="A29" t="s">
        <v>44</v>
      </c>
      <c r="B29">
        <f>Ratio_Analysis!B28/Raw_Peloton!D2</f>
        <v>0.13742572667416092</v>
      </c>
      <c r="C29">
        <f>C28/Raw_Peloton!D3</f>
        <v>-1.7182003332716161E-2</v>
      </c>
      <c r="D29">
        <f>D28/Raw_Peloton!D4</f>
        <v>-0.10899221484179704</v>
      </c>
      <c r="E29">
        <f>E28/Raw_Peloton!D5</f>
        <v>-0.46975237988889201</v>
      </c>
    </row>
    <row r="30" spans="1:5" x14ac:dyDescent="0.2">
      <c r="A30" s="14" t="s">
        <v>45</v>
      </c>
      <c r="B30">
        <f>Raw_Peloton!L2/Raw_Peloton!O2</f>
        <v>-0.17883035282745288</v>
      </c>
      <c r="C30">
        <f>Raw_Peloton!L3/Raw_Peloton!O3</f>
        <v>0.19745713735311116</v>
      </c>
      <c r="D30">
        <f>Raw_Peloton!L4/Raw_Peloton!O4</f>
        <v>0.30362588952897318</v>
      </c>
      <c r="E30">
        <f>Raw_Peloton!L5/Raw_Peloton!O5</f>
        <v>-5.9875189745319621E-2</v>
      </c>
    </row>
    <row r="31" spans="1:5" x14ac:dyDescent="0.2">
      <c r="A31" s="14" t="s">
        <v>46</v>
      </c>
      <c r="B31">
        <f>Raw_Peloton!F2/Raw_Peloton!H2</f>
        <v>0.26914498141263943</v>
      </c>
      <c r="C31">
        <f>Raw_Peloton!F3/Raw_Peloton!H3</f>
        <v>4.7022222222222219</v>
      </c>
      <c r="D31">
        <f>Raw_Peloton!F4/Raw_Peloton!H4</f>
        <v>12.328527291452112</v>
      </c>
      <c r="E31">
        <f>Raw_Peloton!F5/Raw_Peloton!H5</f>
        <v>63.581395348837212</v>
      </c>
    </row>
    <row r="32" spans="1:5" x14ac:dyDescent="0.2">
      <c r="A32" s="23" t="s">
        <v>80</v>
      </c>
      <c r="B32">
        <f>Raw_Peloton!L2/Raw_Peloton!N2</f>
        <v>1.3831775700934579</v>
      </c>
      <c r="C32" s="22" t="s">
        <v>84</v>
      </c>
      <c r="D32" s="22" t="s">
        <v>84</v>
      </c>
      <c r="E32" s="22" t="s">
        <v>85</v>
      </c>
    </row>
    <row r="33" spans="1:5" x14ac:dyDescent="0.2">
      <c r="A33" s="14" t="s">
        <v>89</v>
      </c>
      <c r="B33">
        <f>Raw_Peloton!N2/Raw_Peloton!K2</f>
        <v>0.72297297297297303</v>
      </c>
      <c r="D33" t="s">
        <v>86</v>
      </c>
    </row>
    <row r="36" spans="1:5" x14ac:dyDescent="0.2">
      <c r="A36" t="s">
        <v>74</v>
      </c>
    </row>
    <row r="37" spans="1:5" x14ac:dyDescent="0.2">
      <c r="A37" t="s">
        <v>75</v>
      </c>
    </row>
    <row r="38" spans="1:5" x14ac:dyDescent="0.2">
      <c r="A38" t="s">
        <v>76</v>
      </c>
    </row>
    <row r="42" spans="1:5" x14ac:dyDescent="0.2">
      <c r="A42" t="s">
        <v>64</v>
      </c>
    </row>
    <row r="44" spans="1:5" x14ac:dyDescent="0.2">
      <c r="A44" t="s">
        <v>65</v>
      </c>
      <c r="B44" t="e">
        <f>#REF!*0.4+#REF!*0.3+0.3*#REF!</f>
        <v>#REF!</v>
      </c>
    </row>
    <row r="45" spans="1:5" x14ac:dyDescent="0.2">
      <c r="A45" t="s">
        <v>66</v>
      </c>
      <c r="B45" t="e">
        <f>#REF!*0.4+#REF!*0.3+#REF!*0.3</f>
        <v>#REF!</v>
      </c>
    </row>
    <row r="48" spans="1:5" x14ac:dyDescent="0.2">
      <c r="D48" t="s">
        <v>89</v>
      </c>
      <c r="E48" t="s">
        <v>91</v>
      </c>
    </row>
    <row r="49" spans="1:5" x14ac:dyDescent="0.2">
      <c r="A49" t="s">
        <v>67</v>
      </c>
      <c r="B49" t="e">
        <f>0.4*#REF!+0.3*#REF!+0.3*#REF!</f>
        <v>#REF!</v>
      </c>
      <c r="E49" t="s">
        <v>92</v>
      </c>
    </row>
    <row r="50" spans="1:5" x14ac:dyDescent="0.2">
      <c r="B50" t="e">
        <f>AVERAGE(B44:B49)</f>
        <v>#REF!</v>
      </c>
    </row>
    <row r="53" spans="1:5" x14ac:dyDescent="0.2">
      <c r="A53" t="s">
        <v>68</v>
      </c>
      <c r="B53" t="e">
        <f>0.4*#REF!+0.3*#REF!+0.3*#REF!</f>
        <v>#REF!</v>
      </c>
    </row>
    <row r="54" spans="1:5" x14ac:dyDescent="0.2">
      <c r="A54" t="s">
        <v>69</v>
      </c>
      <c r="B54" t="e">
        <f>0.4*#REF!+0.3*#REF!+0.3*#REF!</f>
        <v>#REF!</v>
      </c>
    </row>
    <row r="55" spans="1:5" x14ac:dyDescent="0.2">
      <c r="A55" t="s">
        <v>70</v>
      </c>
      <c r="B55" t="e">
        <f>#REF!*0.4+0.3*#REF!+0.3*#REF!</f>
        <v>#REF!</v>
      </c>
    </row>
    <row r="56" spans="1:5" x14ac:dyDescent="0.2">
      <c r="B56" t="e">
        <f>AVERAGE(B53:B55)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0092-D9C3-6249-886E-A6A5B46255CE}">
  <dimension ref="A1:J23"/>
  <sheetViews>
    <sheetView zoomScale="137" workbookViewId="0">
      <selection activeCell="I18" sqref="I18"/>
    </sheetView>
  </sheetViews>
  <sheetFormatPr baseColWidth="10" defaultRowHeight="16" x14ac:dyDescent="0.2"/>
  <cols>
    <col min="8" max="8" width="15" bestFit="1" customWidth="1"/>
    <col min="9" max="9" width="15" customWidth="1"/>
  </cols>
  <sheetData>
    <row r="1" spans="1:10" x14ac:dyDescent="0.2">
      <c r="A1" t="s">
        <v>10</v>
      </c>
      <c r="B1" s="6" t="s">
        <v>58</v>
      </c>
      <c r="C1" s="6" t="s">
        <v>59</v>
      </c>
      <c r="G1" s="6" t="s">
        <v>58</v>
      </c>
      <c r="H1" s="6" t="s">
        <v>61</v>
      </c>
      <c r="I1" s="6" t="s">
        <v>62</v>
      </c>
      <c r="J1" s="6" t="s">
        <v>60</v>
      </c>
    </row>
    <row r="2" spans="1:10" x14ac:dyDescent="0.2">
      <c r="B2" t="s">
        <v>29</v>
      </c>
      <c r="C2">
        <v>4</v>
      </c>
      <c r="G2" t="s">
        <v>29</v>
      </c>
      <c r="H2">
        <v>4</v>
      </c>
      <c r="I2">
        <v>1</v>
      </c>
      <c r="J2">
        <v>0.3</v>
      </c>
    </row>
    <row r="3" spans="1:10" x14ac:dyDescent="0.2">
      <c r="B3" t="s">
        <v>33</v>
      </c>
      <c r="C3">
        <v>5</v>
      </c>
      <c r="G3" t="s">
        <v>33</v>
      </c>
      <c r="H3">
        <v>5</v>
      </c>
      <c r="I3">
        <v>2</v>
      </c>
      <c r="J3">
        <v>0.25</v>
      </c>
    </row>
    <row r="4" spans="1:10" x14ac:dyDescent="0.2">
      <c r="B4" t="s">
        <v>36</v>
      </c>
      <c r="C4">
        <v>4</v>
      </c>
      <c r="G4" t="s">
        <v>36</v>
      </c>
      <c r="H4">
        <v>4</v>
      </c>
      <c r="I4">
        <v>1</v>
      </c>
      <c r="J4">
        <v>0.2</v>
      </c>
    </row>
    <row r="5" spans="1:10" x14ac:dyDescent="0.2">
      <c r="B5" t="s">
        <v>38</v>
      </c>
      <c r="C5">
        <v>5</v>
      </c>
      <c r="G5" t="s">
        <v>38</v>
      </c>
      <c r="H5">
        <v>5</v>
      </c>
      <c r="I5">
        <v>2</v>
      </c>
      <c r="J5">
        <v>0.25</v>
      </c>
    </row>
    <row r="6" spans="1:10" x14ac:dyDescent="0.2">
      <c r="A6" t="s">
        <v>19</v>
      </c>
      <c r="B6" s="6" t="s">
        <v>58</v>
      </c>
      <c r="C6" s="6" t="s">
        <v>59</v>
      </c>
      <c r="G6" t="s">
        <v>63</v>
      </c>
      <c r="H6" s="14">
        <f>SUMPRODUCT(H2:H5,J2:J5)</f>
        <v>4.5</v>
      </c>
      <c r="I6" s="18">
        <f>SUMPRODUCT(I2:I5,J2:J5)</f>
        <v>1.5</v>
      </c>
    </row>
    <row r="7" spans="1:10" x14ac:dyDescent="0.2">
      <c r="B7" t="s">
        <v>29</v>
      </c>
      <c r="C7">
        <v>1</v>
      </c>
      <c r="I7" s="6" t="s">
        <v>93</v>
      </c>
    </row>
    <row r="8" spans="1:10" x14ac:dyDescent="0.2">
      <c r="B8" t="s">
        <v>33</v>
      </c>
      <c r="C8">
        <v>2</v>
      </c>
    </row>
    <row r="9" spans="1:10" x14ac:dyDescent="0.2">
      <c r="B9" t="s">
        <v>36</v>
      </c>
      <c r="C9">
        <v>1</v>
      </c>
    </row>
    <row r="10" spans="1:10" x14ac:dyDescent="0.2">
      <c r="B10" t="s">
        <v>38</v>
      </c>
      <c r="C10">
        <v>2</v>
      </c>
    </row>
    <row r="13" spans="1:10" x14ac:dyDescent="0.2">
      <c r="A13" s="6" t="s">
        <v>58</v>
      </c>
      <c r="B13" s="6" t="s">
        <v>60</v>
      </c>
      <c r="G13" t="s">
        <v>64</v>
      </c>
    </row>
    <row r="14" spans="1:10" x14ac:dyDescent="0.2">
      <c r="A14" t="s">
        <v>29</v>
      </c>
      <c r="B14" s="15">
        <v>0.15</v>
      </c>
    </row>
    <row r="15" spans="1:10" x14ac:dyDescent="0.2">
      <c r="A15" t="s">
        <v>33</v>
      </c>
      <c r="B15" s="15">
        <v>0.35</v>
      </c>
    </row>
    <row r="16" spans="1:10" x14ac:dyDescent="0.2">
      <c r="A16" t="s">
        <v>36</v>
      </c>
      <c r="B16" s="15">
        <v>0.15</v>
      </c>
      <c r="D16" s="25"/>
      <c r="E16" s="25"/>
      <c r="F16" s="25"/>
      <c r="G16" s="25"/>
    </row>
    <row r="17" spans="1:7" x14ac:dyDescent="0.2">
      <c r="A17" t="s">
        <v>38</v>
      </c>
      <c r="B17" s="15">
        <v>0.35</v>
      </c>
      <c r="D17" s="25"/>
      <c r="E17" s="25"/>
      <c r="F17" s="25"/>
      <c r="G17" s="25"/>
    </row>
    <row r="19" spans="1:7" x14ac:dyDescent="0.2">
      <c r="A19" t="s">
        <v>73</v>
      </c>
    </row>
    <row r="20" spans="1:7" x14ac:dyDescent="0.2">
      <c r="A20" t="s">
        <v>72</v>
      </c>
    </row>
    <row r="21" spans="1:7" x14ac:dyDescent="0.2">
      <c r="A21" t="s">
        <v>88</v>
      </c>
    </row>
    <row r="22" spans="1:7" x14ac:dyDescent="0.2">
      <c r="A22" s="14" t="s">
        <v>82</v>
      </c>
    </row>
    <row r="23" spans="1:7" x14ac:dyDescent="0.2">
      <c r="A23" s="1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Raw_Starbucks</vt:lpstr>
      <vt:lpstr>Raw_Peloton</vt:lpstr>
      <vt:lpstr>Ratio_Analysis</vt:lpstr>
      <vt:lpstr>credit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Yun-Chen</dc:creator>
  <cp:lastModifiedBy>Lee, Yun-Chen</cp:lastModifiedBy>
  <dcterms:created xsi:type="dcterms:W3CDTF">2026-04-08T22:29:47Z</dcterms:created>
  <dcterms:modified xsi:type="dcterms:W3CDTF">2026-05-31T23:23:54Z</dcterms:modified>
</cp:coreProperties>
</file>